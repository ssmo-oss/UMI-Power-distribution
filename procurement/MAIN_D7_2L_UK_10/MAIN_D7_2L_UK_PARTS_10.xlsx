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f10398b36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arts" sheetId="1" r:id="R46a4fbd8bedb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&quot;£&quot;0.00"/>
    <x:numFmt numFmtId="202" formatCode="#,##0"/>
    <x:numFmt numFmtId="203" formatCode="&quot;£&quot;0.00000"/>
  </x:numFmts>
  <x:fonts count="6">
    <x:font>
      <x:sz val="11"/>
      <x:name val="Carlito"/>
    </x:font>
    <x:font>
      <x:sz val="10"/>
      <x:color rgb="FF24364B"/>
      <x:name val="Arial"/>
    </x:font>
    <x:font>
      <x:b/>
      <x:sz val="15"/>
      <x:color rgb="FF24364B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  <x:font>
      <x:sz val="10"/>
      <x:color rgb="FF245B9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9a899f2fa47fc" /><Relationship Type="http://schemas.openxmlformats.org/officeDocument/2006/relationships/theme" Target="/xl/theme/theme1.xml" Id="R9a9b5dd5c63f4c1b" /><Relationship Type="http://schemas.openxmlformats.org/officeDocument/2006/relationships/sharedStrings" Target="/xl/sharedStrings.xml" Id="R0df99e535686486c" /><Relationship Type="http://schemas.openxmlformats.org/officeDocument/2006/relationships/worksheet" Target="/xl/worksheets/sheet1.xml" Id="R46a4fbd8bedb45d6" /></Relationships>
</file>

<file path=xl/tables/table1.xml><?xml version="1.0" encoding="utf-8"?>
<x:table xmlns:x="http://schemas.openxmlformats.org/spreadsheetml/2006/main" id="1" name="PurchaseParts" displayName="PurchaseParts" ref="A8:L17" headerRowCount="1" totalsRowCount="0" totalsRowShown="0">
  <x:tableColumns count="12">
    <x:tableColumn id="1" name="Item"/>
    <x:tableColumn id="2" name="Reference / use"/>
    <x:tableColumn id="3" name="Manufacturer part number"/>
    <x:tableColumn id="4" name="DigiKey UK SKU"/>
    <x:tableColumn id="5" name="Per board"/>
    <x:tableColumn id="6" name="Required"/>
    <x:tableColumn id="7" name="Order multiple"/>
    <x:tableColumn id="8" name="Order qty"/>
    <x:tableColumn id="9" name="Spare qty"/>
    <x:tableColumn id="10" name="Stock observed"/>
    <x:tableColumn id="11" name="GBP each ex VAT"/>
    <x:tableColumn id="12" name="GBP line ex V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69dbf6602d4b4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6" hidden="0" customWidth="1"/>
    <x:col min="4" max="4" width="25" hidden="0" customWidth="1"/>
    <x:col min="5" max="5" width="10" hidden="0" customWidth="1"/>
    <x:col min="6" max="6" width="11" hidden="0" customWidth="1"/>
    <x:col min="7" max="7" width="13" hidden="0" customWidth="1"/>
    <x:col min="8" max="8" width="11" hidden="0" customWidth="1"/>
    <x:col min="9" max="9" width="11" hidden="0" customWidth="1"/>
    <x:col min="10" max="10" width="16" hidden="0" customWidth="1"/>
    <x:col min="11" max="11" width="18" hidden="0" customWidth="1"/>
    <x:col min="12" max="12" width="18" hidden="0" customWidth="1"/>
    <x:col min="13" max="13" width="3" hidden="0" customWidth="1"/>
    <x:col min="14" max="14" width="91" hidden="0" customWidth="1"/>
    <x:col min="15" max="15" width="23" hidden="0" customWidth="1"/>
    <x:col min="16" max="16" width="1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MAIN D7-2L purchasing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 t="str">
        <x:v>Board quantity</x:v>
      </x:c>
      <x:c r="B4" s="3" t="n">
        <x:v>10</x:v>
      </x:c>
      <x:c r="C4" s="1"/>
      <x:c r="D4" s="1" t="str">
        <x:v>Parts estimate, ex VAT</x:v>
      </x:c>
      <x:c r="E4" s="5" t="n">
        <x:f>SUM(L9:L17)</x:f>
        <x:v>259.48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 t="str">
        <x:v>Spares allowance</x:v>
      </x:c>
      <x:c r="B5" s="4" t="n">
        <x:v>0.2</x:v>
      </x:c>
      <x:c r="C5" s="1"/>
      <x:c r="D5" s="1" t="str">
        <x:v>DigiKey UK. Observed 29 Sep 2026. Prices and stock must be refreshed at checkout.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 t="str">
        <x:v>No successful online basket or order. Use the accompanying import CSV. Shipping and VAT excluded.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32" customHeight="1">
      <x:c r="A8" s="10" t="str">
        <x:v>Item</x:v>
      </x:c>
      <x:c r="B8" s="10" t="str">
        <x:v>Reference / use</x:v>
      </x:c>
      <x:c r="C8" s="10" t="str">
        <x:v>Manufacturer part number</x:v>
      </x:c>
      <x:c r="D8" s="10" t="str">
        <x:v>DigiKey UK SKU</x:v>
      </x:c>
      <x:c r="E8" s="10" t="str">
        <x:v>Per board</x:v>
      </x:c>
      <x:c r="F8" s="10" t="str">
        <x:v>Required</x:v>
      </x:c>
      <x:c r="G8" s="10" t="str">
        <x:v>Order multiple</x:v>
      </x:c>
      <x:c r="H8" s="10" t="str">
        <x:v>Order qty</x:v>
      </x:c>
      <x:c r="I8" s="10" t="str">
        <x:v>Spare qty</x:v>
      </x:c>
      <x:c r="J8" s="10" t="str">
        <x:v>Stock observed</x:v>
      </x:c>
      <x:c r="K8" s="10" t="str">
        <x:v>GBP each ex VAT</x:v>
      </x:c>
      <x:c r="L8" s="10" t="str">
        <x:v>GBP line ex VAT</x:v>
      </x:c>
      <x:c r="M8" s="1"/>
      <x:c r="N8" s="14" t="str">
        <x:v>Notes</x:v>
      </x:c>
      <x:c r="O8" s="14" t="str">
        <x:v>Price tier at quantity</x:v>
      </x:c>
      <x:c r="P8" s="14" t="str">
        <x:v>Source URL</x:v>
      </x:c>
    </x:row>
    <x:row r="9" ht="32" customHeight="1">
      <x:c r="A9" s="11" t="str">
        <x:v>12 V input terminal</x:v>
      </x:c>
      <x:c r="B9" s="11" t="str">
        <x:v>J1</x:v>
      </x:c>
      <x:c r="C9" s="11" t="str">
        <x:v>1709681</x:v>
      </x:c>
      <x:c r="D9" s="11" t="str">
        <x:v>277-13746-ND</x:v>
      </x:c>
      <x:c r="E9" s="12" t="n">
        <x:v>1</x:v>
      </x:c>
      <x:c r="F9" s="12" t="n">
        <x:f>E9*$B$4</x:f>
        <x:v>10</x:v>
      </x:c>
      <x:c r="G9" s="12" t="n">
        <x:v>1</x:v>
      </x:c>
      <x:c r="H9" s="12" t="n">
        <x:f>ROUNDUP(F9*(1+$B$5)/G9,0)*G9</x:f>
        <x:v>12</x:v>
      </x:c>
      <x:c r="I9" s="12" t="n">
        <x:f>H9-F9</x:f>
        <x:v>2</x:v>
      </x:c>
      <x:c r="J9" s="12" t="n">
        <x:v>78</x:v>
      </x:c>
      <x:c r="K9" s="13" t="n">
        <x:v>5.94</x:v>
      </x:c>
      <x:c r="L9" s="5" t="n">
        <x:f>ROUND(H9*K9,2)</x:f>
        <x:v>71.28</x:v>
      </x:c>
      <x:c r="M9" s="1"/>
      <x:c r="N9" s="1" t="str">
        <x:v>Fixed PCB screw terminal. No mating plug needed.</x:v>
      </x:c>
      <x:c r="O9" s="1" t="n">
        <x:v>10</x:v>
      </x:c>
      <x:c r="P9" s="15" t="str">
        <x:v>https://www.digikey.co.uk/en/products/detail/phoenix-contact/1709681/2511044</x:v>
      </x:c>
    </x:row>
    <x:row r="10" ht="32" customHeight="1">
      <x:c r="A10" s="11" t="str">
        <x:v>ATO fuse holder</x:v>
      </x:c>
      <x:c r="B10" s="11" t="str">
        <x:v>F1-F5</x:v>
      </x:c>
      <x:c r="C10" s="11" t="str">
        <x:v>178.6165.0002</x:v>
      </x:c>
      <x:c r="D10" s="11" t="str">
        <x:v>WK6265-ND</x:v>
      </x:c>
      <x:c r="E10" s="12" t="n">
        <x:v>5</x:v>
      </x:c>
      <x:c r="F10" s="12" t="n">
        <x:f>E10*$B$4</x:f>
        <x:v>50</x:v>
      </x:c>
      <x:c r="G10" s="12" t="n">
        <x:v>1</x:v>
      </x:c>
      <x:c r="H10" s="12" t="n">
        <x:f>ROUNDUP(F10*(1+$B$5)/G10,0)*G10</x:f>
        <x:v>60</x:v>
      </x:c>
      <x:c r="I10" s="12" t="n">
        <x:f>H10-F10</x:f>
        <x:v>10</x:v>
      </x:c>
      <x:c r="J10" s="12" t="n">
        <x:v>15912</x:v>
      </x:c>
      <x:c r="K10" s="13" t="n">
        <x:v>2.5222</x:v>
      </x:c>
      <x:c r="L10" s="5" t="n">
        <x:f>ROUND(H10*K10,2)</x:f>
        <x:v>151.33</x:v>
      </x:c>
      <x:c r="M10" s="1"/>
      <x:c r="N10" s="1" t="str">
        <x:v>Complete holder; fuse inserts ordered separately.</x:v>
      </x:c>
      <x:c r="O10" s="1" t="n">
        <x:v>50</x:v>
      </x:c>
      <x:c r="P10" s="15" t="str">
        <x:v>https://www.digikey.co.uk/en/products/detail/littelfuse-commercial-vehicle-products/178-6165-0002/653477</x:v>
      </x:c>
    </x:row>
    <x:row r="11" ht="32" customHeight="1">
      <x:c r="A11" s="11" t="str">
        <x:v>VH 2-pin PCB header</x:v>
      </x:c>
      <x:c r="B11" s="11" t="str">
        <x:v>J2-J6</x:v>
      </x:c>
      <x:c r="C11" s="11" t="str">
        <x:v>B2P-VH(LF)(SN)</x:v>
      </x:c>
      <x:c r="D11" s="11" t="str">
        <x:v>455-1639-ND</x:v>
      </x:c>
      <x:c r="E11" s="12" t="n">
        <x:v>5</x:v>
      </x:c>
      <x:c r="F11" s="12" t="n">
        <x:f>E11*$B$4</x:f>
        <x:v>50</x:v>
      </x:c>
      <x:c r="G11" s="12" t="n">
        <x:v>1</x:v>
      </x:c>
      <x:c r="H11" s="12" t="n">
        <x:f>ROUNDUP(F11*(1+$B$5)/G11,0)*G11</x:f>
        <x:v>60</x:v>
      </x:c>
      <x:c r="I11" s="12" t="n">
        <x:f>H11-F11</x:f>
        <x:v>10</x:v>
      </x:c>
      <x:c r="J11" s="12" t="n">
        <x:v>89118</x:v>
      </x:c>
      <x:c r="K11" s="13" t="n">
        <x:v>0.099</x:v>
      </x:c>
      <x:c r="L11" s="5" t="n">
        <x:f>ROUND(H11*K11,2)</x:f>
        <x:v>5.94</x:v>
      </x:c>
      <x:c r="M11" s="1"/>
      <x:c r="N11" s="1" t="str">
        <x:v>DigiKey catalog name B2P-VH; vertical 3.96 mm tin-plated header.</x:v>
      </x:c>
      <x:c r="O11" s="1" t="n">
        <x:v>10</x:v>
      </x:c>
      <x:c r="P11" s="15" t="str">
        <x:v>https://www.digikey.co.uk/en/products/detail/jst-sales-america-inc/B2P-VH/926547</x:v>
      </x:c>
    </x:row>
    <x:row r="12" ht="32" customHeight="1">
      <x:c r="A12" s="11" t="str">
        <x:v>7.5 A ATO fuse</x:v>
      </x:c>
      <x:c r="B12" s="11" t="str">
        <x:v>F1 Jetson / F2 GMSL</x:v>
      </x:c>
      <x:c r="C12" s="11" t="str">
        <x:v>028707.5PXCN</x:v>
      </x:c>
      <x:c r="D12" s="11" t="str">
        <x:v>F4198-ND</x:v>
      </x:c>
      <x:c r="E12" s="12" t="n">
        <x:v>2</x:v>
      </x:c>
      <x:c r="F12" s="12" t="n">
        <x:f>E12*$B$4</x:f>
        <x:v>20</x:v>
      </x:c>
      <x:c r="G12" s="12" t="n">
        <x:v>1</x:v>
      </x:c>
      <x:c r="H12" s="12" t="n">
        <x:f>ROUNDUP(F12*(1+$B$5)/G12,0)*G12</x:f>
        <x:v>24</x:v>
      </x:c>
      <x:c r="I12" s="12" t="n">
        <x:f>H12-F12</x:f>
        <x:v>4</x:v>
      </x:c>
      <x:c r="J12" s="12" t="n">
        <x:v>23266</x:v>
      </x:c>
      <x:c r="K12" s="13" t="n">
        <x:v>0.252</x:v>
      </x:c>
      <x:c r="L12" s="5" t="n">
        <x:f>ROUND(H12*K12,2)</x:f>
        <x:v>6.05</x:v>
      </x:c>
      <x:c r="M12" s="1"/>
      <x:c r="N12" s="1" t="str">
        <x:v>Brown, 32 VDC. Matches existing D7-2L fuse schedule.</x:v>
      </x:c>
      <x:c r="O12" s="1" t="n">
        <x:v>10</x:v>
      </x:c>
      <x:c r="P12" s="15" t="str">
        <x:v>https://www.digikey.co.uk/en/products/detail/littelfuse-inc/028707-5PXCN/2519829</x:v>
      </x:c>
    </x:row>
    <x:row r="13" ht="32" customHeight="1">
      <x:c r="A13" s="11" t="str">
        <x:v>1 A ATO fuse</x:v>
      </x:c>
      <x:c r="B13" s="11" t="str">
        <x:v>F3 FAN</x:v>
      </x:c>
      <x:c r="C13" s="11" t="str">
        <x:v>0287001.PXCN</x:v>
      </x:c>
      <x:c r="D13" s="11" t="str">
        <x:v>F4191-ND</x:v>
      </x:c>
      <x:c r="E13" s="12" t="n">
        <x:v>1</x:v>
      </x:c>
      <x:c r="F13" s="12" t="n">
        <x:f>E13*$B$4</x:f>
        <x:v>10</x:v>
      </x:c>
      <x:c r="G13" s="12" t="n">
        <x:v>1</x:v>
      </x:c>
      <x:c r="H13" s="12" t="n">
        <x:f>ROUNDUP(F13*(1+$B$5)/G13,0)*G13</x:f>
        <x:v>12</x:v>
      </x:c>
      <x:c r="I13" s="12" t="n">
        <x:f>H13-F13</x:f>
        <x:v>2</x:v>
      </x:c>
      <x:c r="J13" s="12" t="n">
        <x:v>14558</x:v>
      </x:c>
      <x:c r="K13" s="13" t="n">
        <x:v>0.245</x:v>
      </x:c>
      <x:c r="L13" s="5" t="n">
        <x:f>ROUND(H13*K13,2)</x:f>
        <x:v>2.94</x:v>
      </x:c>
      <x:c r="M13" s="1"/>
      <x:c r="N13" s="1" t="str">
        <x:v>Black, 32 VDC. FAN remains 1 A despite wider copper.</x:v>
      </x:c>
      <x:c r="O13" s="1" t="n">
        <x:v>10</x:v>
      </x:c>
      <x:c r="P13" s="15" t="str">
        <x:v>https://www.digikey.co.uk/en/products/detail/littelfuse-inc/0287001-PXCN/3102551</x:v>
      </x:c>
    </x:row>
    <x:row r="14" ht="32" customHeight="1">
      <x:c r="A14" s="11" t="str">
        <x:v>5 A ATO fuse</x:v>
      </x:c>
      <x:c r="B14" s="11" t="str">
        <x:v>F4 USB supply</x:v>
      </x:c>
      <x:c r="C14" s="11" t="str">
        <x:v>0287005.PXCN</x:v>
      </x:c>
      <x:c r="D14" s="11" t="str">
        <x:v>F4197-ND</x:v>
      </x:c>
      <x:c r="E14" s="12" t="n">
        <x:v>1</x:v>
      </x:c>
      <x:c r="F14" s="12" t="n">
        <x:f>E14*$B$4</x:f>
        <x:v>10</x:v>
      </x:c>
      <x:c r="G14" s="12" t="n">
        <x:v>1</x:v>
      </x:c>
      <x:c r="H14" s="12" t="n">
        <x:f>ROUNDUP(F14*(1+$B$5)/G14,0)*G14</x:f>
        <x:v>12</x:v>
      </x:c>
      <x:c r="I14" s="12" t="n">
        <x:f>H14-F14</x:f>
        <x:v>2</x:v>
      </x:c>
      <x:c r="J14" s="12" t="n">
        <x:v>74648</x:v>
      </x:c>
      <x:c r="K14" s="13" t="n">
        <x:v>0.245</x:v>
      </x:c>
      <x:c r="L14" s="5" t="n">
        <x:f>ROUND(H14*K14,2)</x:f>
        <x:v>2.94</x:v>
      </x:c>
      <x:c r="M14" s="1"/>
      <x:c r="N14" s="1" t="str">
        <x:v>Tan, 32 VDC; protects 12 V feed to USB board.</x:v>
      </x:c>
      <x:c r="O14" s="1" t="n">
        <x:v>10</x:v>
      </x:c>
      <x:c r="P14" s="15" t="str">
        <x:v>https://www.digikey.co.uk/en/products/detail/littelfuse-inc/0287005-PXCN/2519811</x:v>
      </x:c>
    </x:row>
    <x:row r="15" ht="32" customHeight="1">
      <x:c r="A15" s="11" t="str">
        <x:v>10 A ATO fuse</x:v>
      </x:c>
      <x:c r="B15" s="11" t="str">
        <x:v>F5 PoE supply</x:v>
      </x:c>
      <x:c r="C15" s="11" t="str">
        <x:v>0287010.PXCN</x:v>
      </x:c>
      <x:c r="D15" s="11" t="str">
        <x:v>F4199-ND</x:v>
      </x:c>
      <x:c r="E15" s="12" t="n">
        <x:v>1</x:v>
      </x:c>
      <x:c r="F15" s="12" t="n">
        <x:f>E15*$B$4</x:f>
        <x:v>10</x:v>
      </x:c>
      <x:c r="G15" s="12" t="n">
        <x:v>1</x:v>
      </x:c>
      <x:c r="H15" s="12" t="n">
        <x:f>ROUNDUP(F15*(1+$B$5)/G15,0)*G15</x:f>
        <x:v>12</x:v>
      </x:c>
      <x:c r="I15" s="12" t="n">
        <x:f>H15-F15</x:f>
        <x:v>2</x:v>
      </x:c>
      <x:c r="J15" s="12" t="n">
        <x:v>49529</x:v>
      </x:c>
      <x:c r="K15" s="13" t="n">
        <x:v>0.245</x:v>
      </x:c>
      <x:c r="L15" s="5" t="n">
        <x:f>ROUND(H15*K15,2)</x:f>
        <x:v>2.94</x:v>
      </x:c>
      <x:c r="M15" s="1"/>
      <x:c r="N15" s="1" t="str">
        <x:v>Red, 32 VDC; MAIN 12 V branch only, never 53.5 V output.</x:v>
      </x:c>
      <x:c r="O15" s="1" t="n">
        <x:v>10</x:v>
      </x:c>
      <x:c r="P15" s="15" t="str">
        <x:v>https://www.digikey.co.uk/en/products/detail/littelfuse-inc/0287010-PXCN/2519807</x:v>
      </x:c>
    </x:row>
    <x:row r="16" ht="32" customHeight="1">
      <x:c r="A16" s="11" t="str">
        <x:v>VH 2-pin mating housing</x:v>
      </x:c>
      <x:c r="B16" s="11" t="str">
        <x:v>Harness J2-J6</x:v>
      </x:c>
      <x:c r="C16" s="11" t="str">
        <x:v>VHR-2N</x:v>
      </x:c>
      <x:c r="D16" s="11" t="str">
        <x:v>455-VHR-2N-ND</x:v>
      </x:c>
      <x:c r="E16" s="12" t="n">
        <x:v>5</x:v>
      </x:c>
      <x:c r="F16" s="12" t="n">
        <x:f>E16*$B$4</x:f>
        <x:v>50</x:v>
      </x:c>
      <x:c r="G16" s="12" t="n">
        <x:v>1</x:v>
      </x:c>
      <x:c r="H16" s="12" t="n">
        <x:f>ROUNDUP(F16*(1+$B$5)/G16,0)*G16</x:f>
        <x:v>60</x:v>
      </x:c>
      <x:c r="I16" s="12" t="n">
        <x:f>H16-F16</x:f>
        <x:v>10</x:v>
      </x:c>
      <x:c r="J16" s="12" t="n">
        <x:v>95778</x:v>
      </x:c>
      <x:c r="K16" s="13" t="n">
        <x:v>0.0516</x:v>
      </x:c>
      <x:c r="L16" s="5" t="n">
        <x:f>ROUND(H16*K16,2)</x:f>
        <x:v>3.1</x:v>
      </x:c>
      <x:c r="M16" s="1"/>
      <x:c r="N16" s="1" t="str">
        <x:v>Natural colour replaces previous black VHR-2N-BK. Contacts separate.</x:v>
      </x:c>
      <x:c r="O16" s="1" t="n">
        <x:v>50</x:v>
      </x:c>
      <x:c r="P16" s="15" t="str">
        <x:v>https://www.digikey.co.uk/en/products/detail/jst-sales-america-inc/VHR-2N/608624</x:v>
      </x:c>
    </x:row>
    <x:row r="17" ht="32" customHeight="1">
      <x:c r="A17" s="11" t="str">
        <x:v>VH female crimp contact</x:v>
      </x:c>
      <x:c r="B17" s="11" t="str">
        <x:v>2 per mating housing</x:v>
      </x:c>
      <x:c r="C17" s="11" t="str">
        <x:v>SVH-41T-P1.1</x:v>
      </x:c>
      <x:c r="D17" s="11" t="str">
        <x:v>455-1319-100-ND</x:v>
      </x:c>
      <x:c r="E17" s="12" t="n">
        <x:v>10</x:v>
      </x:c>
      <x:c r="F17" s="12" t="n">
        <x:f>E17*$B$4</x:f>
        <x:v>100</x:v>
      </x:c>
      <x:c r="G17" s="12" t="n">
        <x:v>100</x:v>
      </x:c>
      <x:c r="H17" s="12" t="n">
        <x:f>ROUNDUP(F17*(1+$B$5)/G17,0)*G17</x:f>
        <x:v>200</x:v>
      </x:c>
      <x:c r="I17" s="12" t="n">
        <x:f>H17-F17</x:f>
        <x:v>100</x:v>
      </x:c>
      <x:c r="J17" s="12" t="n">
        <x:v>500</x:v>
      </x:c>
      <x:c r="K17" s="13" t="n">
        <x:v>0.0648</x:v>
      </x:c>
      <x:c r="L17" s="5" t="n">
        <x:f>ROUND(H17*K17,2)</x:f>
        <x:v>12.96</x:v>
      </x:c>
      <x:c r="M17" s="1"/>
      <x:c r="N17" s="1" t="str">
        <x:v>16-20 AWG. Order quantity is CONTACTS: 200 = two strips of 100.</x:v>
      </x:c>
      <x:c r="O17" s="1" t="n">
        <x:v>100</x:v>
      </x:c>
      <x:c r="P17" s="15" t="str">
        <x:v>https://www.digikey.co.uk/en/products/detail/jst-sales-america-inc/SVH-41T-P1-1/26213078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 t="str">
        <x:v>Scope: all MAIN PCB parts, fuse inserts and MAIN-end mating housings/contacts. All components are hand-fitted.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 t="str">
        <x:v>Excludes cable lengths, device-end connectors, enclosure hardware and crimp tooling. These depend on the installation.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 t="str">
        <x:v>JLCPCB: 10 bare boards, 2 layers, 2 oz copper per side, 1.2 mm, ENIG. Mechanical confirmation and prototype thermal tests remain open.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 t="str">
        <x:v>Prices use the displayed tiers for the initial basket. Changing quantities recalculates counts and cost at the same unit prices. Refresh prices for a new batch.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</x:sheetData>
  <x:pageMargins left="0.7" right="0.7" top="0.75" bottom="0.75" header="0.3" footer="0.3"/>
  <x:tableParts count="1">
    <x:tablePart xmlns:r="http://schemas.openxmlformats.org/officeDocument/2006/relationships" r:id="Rf269dbf6602d4b42"/>
  </x:tableParts>
</x:worksheet>
</file>